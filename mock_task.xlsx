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\"/>
    </mc:Choice>
  </mc:AlternateContent>
  <xr:revisionPtr revIDLastSave="0" documentId="8_{D3B8B7FC-B118-4145-8FA9-44609C45B232}" xr6:coauthVersionLast="47" xr6:coauthVersionMax="47" xr10:uidLastSave="{00000000-0000-0000-0000-000000000000}"/>
  <bookViews>
    <workbookView xWindow="-108" yWindow="-108" windowWidth="23256" windowHeight="12456" xr2:uid="{AF45F332-CA8C-412B-8C53-DA6F2B06832E}"/>
  </bookViews>
  <sheets>
    <sheet name="product_master" sheetId="1" r:id="rId1"/>
    <sheet name="sales_data" sheetId="3" r:id="rId2"/>
    <sheet name="monthly_target" sheetId="5" r:id="rId3"/>
  </sheets>
  <definedNames>
    <definedName name="_xlnm._FilterDatabase" localSheetId="2" hidden="1">monthly_target!$C$3:$G$4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3" i="3"/>
  <c r="H3" i="3"/>
  <c r="K4" i="1"/>
  <c r="K4" i="5"/>
  <c r="L4" i="5"/>
  <c r="M4" i="5"/>
  <c r="J4" i="5"/>
  <c r="K5" i="1"/>
  <c r="K6" i="1"/>
  <c r="K7" i="1"/>
  <c r="K8" i="1"/>
  <c r="I4" i="3"/>
  <c r="I5" i="3"/>
  <c r="I6" i="3"/>
  <c r="I7" i="3"/>
  <c r="I8" i="3"/>
  <c r="I9" i="3"/>
  <c r="I10" i="3"/>
  <c r="I11" i="3"/>
  <c r="I12" i="3"/>
  <c r="H4" i="3"/>
  <c r="H5" i="3"/>
  <c r="H6" i="3"/>
  <c r="H7" i="3"/>
  <c r="H8" i="3"/>
  <c r="H9" i="3"/>
  <c r="H10" i="3"/>
  <c r="H11" i="3"/>
  <c r="H12" i="3"/>
</calcChain>
</file>

<file path=xl/sharedStrings.xml><?xml version="1.0" encoding="utf-8"?>
<sst xmlns="http://schemas.openxmlformats.org/spreadsheetml/2006/main" count="94" uniqueCount="52">
  <si>
    <t>Employee ID</t>
  </si>
  <si>
    <t>Employee Name</t>
  </si>
  <si>
    <t>Region</t>
  </si>
  <si>
    <t>Product ID</t>
  </si>
  <si>
    <t>Units Sold</t>
  </si>
  <si>
    <t>Sales Amount</t>
  </si>
  <si>
    <t>E101</t>
  </si>
  <si>
    <t>Rahul Mehta</t>
  </si>
  <si>
    <t>North</t>
  </si>
  <si>
    <t>P001</t>
  </si>
  <si>
    <t>E102</t>
  </si>
  <si>
    <t>Priya Sharma</t>
  </si>
  <si>
    <t>South</t>
  </si>
  <si>
    <t>P002</t>
  </si>
  <si>
    <t>E103</t>
  </si>
  <si>
    <t>Aman Verma</t>
  </si>
  <si>
    <t>East</t>
  </si>
  <si>
    <t>P003</t>
  </si>
  <si>
    <t>E104</t>
  </si>
  <si>
    <t>Sneha Patel</t>
  </si>
  <si>
    <t>West</t>
  </si>
  <si>
    <t>P004</t>
  </si>
  <si>
    <t>E105</t>
  </si>
  <si>
    <t>Rohan Gupta</t>
  </si>
  <si>
    <t>P005</t>
  </si>
  <si>
    <t>E106</t>
  </si>
  <si>
    <t>Meena Iyer</t>
  </si>
  <si>
    <t>E107</t>
  </si>
  <si>
    <t>Deepak Rao</t>
  </si>
  <si>
    <t>E108</t>
  </si>
  <si>
    <t>Kavita Das</t>
  </si>
  <si>
    <t>E109</t>
  </si>
  <si>
    <t>Ajay Nair</t>
  </si>
  <si>
    <t>E110</t>
  </si>
  <si>
    <t>Neha Kulkarni</t>
  </si>
  <si>
    <t>Product Name</t>
  </si>
  <si>
    <t>Category</t>
  </si>
  <si>
    <t>Price per Unit</t>
  </si>
  <si>
    <t>Laptop</t>
  </si>
  <si>
    <t>Electronics</t>
  </si>
  <si>
    <t>Smartphone</t>
  </si>
  <si>
    <t>Headphones</t>
  </si>
  <si>
    <t>Accessories</t>
  </si>
  <si>
    <t>Printer</t>
  </si>
  <si>
    <t>Office Supplies</t>
  </si>
  <si>
    <t>Monitor</t>
  </si>
  <si>
    <t>Target Sales</t>
  </si>
  <si>
    <t>Total sales value</t>
  </si>
  <si>
    <t>price per unit</t>
  </si>
  <si>
    <t>Vlookup Price per Unit</t>
  </si>
  <si>
    <t>Target sales</t>
  </si>
  <si>
    <t>hlookup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</si>
</sst>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/>
    <xf numFmtId="0" fontId="3" fillId="0" borderId="1" xfId="0" applyFont="1" applyBorder="1" applyAlignment="1">
      <alignment horizontal="right"/>
    </xf>
    <xf numFmtId="0" fontId="2" fillId="0" borderId="2" xfId="0" applyFont="1" applyBorder="1" applyAlignment="1">
      <alignment horizontal="center" wrapText="1"/>
    </xf>
    <xf numFmtId="0" fontId="3" fillId="0" borderId="2" xfId="0" applyFont="1" applyBorder="1" applyAlignment="1">
      <alignment wrapText="1"/>
    </xf>
    <xf numFmtId="0" fontId="3" fillId="0" borderId="2" xfId="0" applyFont="1" applyBorder="1" applyAlignment="1">
      <alignment horizontal="right" wrapText="1"/>
    </xf>
    <xf numFmtId="0" fontId="0" fillId="0" borderId="2" xfId="0" applyBorder="1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right"/>
    </xf>
    <xf numFmtId="0" fontId="2" fillId="0" borderId="3" xfId="0" applyFont="1" applyBorder="1" applyAlignment="1">
      <alignment horizontal="center"/>
    </xf>
    <xf numFmtId="0" fontId="3" fillId="0" borderId="3" xfId="0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3" fillId="0" borderId="2" xfId="0" applyFont="1" applyBorder="1" applyAlignment="1">
      <alignment horizontal="right"/>
    </xf>
    <xf numFmtId="0" fontId="1" fillId="0" borderId="2" xfId="0" applyFont="1" applyBorder="1"/>
    <xf numFmtId="0" fontId="0" fillId="0" borderId="4" xfId="0" applyFill="1" applyBorder="1"/>
  </cellXfs>
  <cellStyles count="1">
    <cellStyle name="Normal" xfId="0" builtinId="0"/>
  </cellStyles>
  <dxfs count="10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68907-D1D1-49B9-AE95-98914EFE5D8A}">
  <dimension ref="B2:K8"/>
  <sheetViews>
    <sheetView tabSelected="1" workbookViewId="0">
      <selection activeCell="G16" sqref="G16"/>
    </sheetView>
  </sheetViews>
  <sheetFormatPr defaultRowHeight="14.4" x14ac:dyDescent="0.3"/>
  <cols>
    <col min="2" max="2" width="12.33203125" customWidth="1"/>
    <col min="3" max="3" width="15" bestFit="1" customWidth="1"/>
    <col min="4" max="4" width="10.77734375" customWidth="1"/>
    <col min="5" max="5" width="13.109375" bestFit="1" customWidth="1"/>
    <col min="6" max="6" width="11" customWidth="1"/>
    <col min="7" max="7" width="14.77734375" customWidth="1"/>
    <col min="8" max="8" width="12.77734375" bestFit="1" customWidth="1"/>
    <col min="10" max="10" width="13.5546875" bestFit="1" customWidth="1"/>
    <col min="11" max="11" width="20.33203125" bestFit="1" customWidth="1"/>
  </cols>
  <sheetData>
    <row r="2" spans="2:11" ht="15" thickBot="1" x14ac:dyDescent="0.35"/>
    <row r="3" spans="2:11" ht="15" thickBot="1" x14ac:dyDescent="0.35">
      <c r="B3" s="1" t="s">
        <v>3</v>
      </c>
      <c r="C3" s="1" t="s">
        <v>35</v>
      </c>
      <c r="D3" s="1" t="s">
        <v>36</v>
      </c>
      <c r="E3" s="1" t="s">
        <v>37</v>
      </c>
      <c r="G3" s="1" t="s">
        <v>35</v>
      </c>
      <c r="H3" s="1" t="s">
        <v>37</v>
      </c>
      <c r="J3" s="1" t="s">
        <v>35</v>
      </c>
      <c r="K3" s="9" t="s">
        <v>49</v>
      </c>
    </row>
    <row r="4" spans="2:11" ht="15" thickBot="1" x14ac:dyDescent="0.35">
      <c r="B4" s="2" t="s">
        <v>9</v>
      </c>
      <c r="C4" s="2" t="s">
        <v>38</v>
      </c>
      <c r="D4" s="2" t="s">
        <v>39</v>
      </c>
      <c r="E4" s="3">
        <v>3000</v>
      </c>
      <c r="G4" s="2" t="s">
        <v>38</v>
      </c>
      <c r="H4" s="3">
        <v>3000</v>
      </c>
      <c r="J4" s="2" t="s">
        <v>38</v>
      </c>
      <c r="K4" s="10">
        <f>VLOOKUP(G4,G3:H8,2,FALSE)</f>
        <v>3000</v>
      </c>
    </row>
    <row r="5" spans="2:11" ht="15" thickBot="1" x14ac:dyDescent="0.35">
      <c r="B5" s="2" t="s">
        <v>13</v>
      </c>
      <c r="C5" s="2" t="s">
        <v>40</v>
      </c>
      <c r="D5" s="2" t="s">
        <v>39</v>
      </c>
      <c r="E5" s="3">
        <v>3000</v>
      </c>
      <c r="G5" s="2" t="s">
        <v>40</v>
      </c>
      <c r="H5" s="3">
        <v>3000</v>
      </c>
      <c r="J5" s="2" t="s">
        <v>40</v>
      </c>
      <c r="K5" s="10">
        <f t="shared" ref="K5:K8" si="0">VLOOKUP(G5,G4:H9,2,FALSE)</f>
        <v>3000</v>
      </c>
    </row>
    <row r="6" spans="2:11" ht="15" thickBot="1" x14ac:dyDescent="0.35">
      <c r="B6" s="2" t="s">
        <v>17</v>
      </c>
      <c r="C6" s="2" t="s">
        <v>41</v>
      </c>
      <c r="D6" s="2" t="s">
        <v>42</v>
      </c>
      <c r="E6" s="3">
        <v>3500</v>
      </c>
      <c r="G6" s="2" t="s">
        <v>41</v>
      </c>
      <c r="H6" s="3">
        <v>3500</v>
      </c>
      <c r="J6" s="2" t="s">
        <v>41</v>
      </c>
      <c r="K6" s="10">
        <f t="shared" si="0"/>
        <v>3500</v>
      </c>
    </row>
    <row r="7" spans="2:11" ht="15" thickBot="1" x14ac:dyDescent="0.35">
      <c r="B7" s="2" t="s">
        <v>21</v>
      </c>
      <c r="C7" s="2" t="s">
        <v>43</v>
      </c>
      <c r="D7" s="2" t="s">
        <v>44</v>
      </c>
      <c r="E7" s="3">
        <v>5000</v>
      </c>
      <c r="G7" s="2" t="s">
        <v>43</v>
      </c>
      <c r="H7" s="3">
        <v>5000</v>
      </c>
      <c r="J7" s="2" t="s">
        <v>43</v>
      </c>
      <c r="K7" s="10">
        <f t="shared" si="0"/>
        <v>5000</v>
      </c>
    </row>
    <row r="8" spans="2:11" ht="15" thickBot="1" x14ac:dyDescent="0.35">
      <c r="B8" s="2" t="s">
        <v>24</v>
      </c>
      <c r="C8" s="2" t="s">
        <v>45</v>
      </c>
      <c r="D8" s="2" t="s">
        <v>39</v>
      </c>
      <c r="E8" s="3">
        <v>4000</v>
      </c>
      <c r="G8" s="2" t="s">
        <v>45</v>
      </c>
      <c r="H8" s="3">
        <v>4000</v>
      </c>
      <c r="J8" s="2" t="s">
        <v>45</v>
      </c>
      <c r="K8" s="10">
        <f t="shared" si="0"/>
        <v>4000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84ECE-BB76-405C-B090-1881E5A035AE}">
  <dimension ref="B1:I13"/>
  <sheetViews>
    <sheetView workbookViewId="0">
      <selection activeCell="L11" sqref="L11"/>
    </sheetView>
  </sheetViews>
  <sheetFormatPr defaultRowHeight="14.4" x14ac:dyDescent="0.3"/>
  <cols>
    <col min="2" max="2" width="11.77734375" bestFit="1" customWidth="1"/>
    <col min="3" max="3" width="15" bestFit="1" customWidth="1"/>
    <col min="5" max="5" width="10.33203125" bestFit="1" customWidth="1"/>
    <col min="6" max="6" width="10" bestFit="1" customWidth="1"/>
    <col min="7" max="7" width="13.109375" bestFit="1" customWidth="1"/>
    <col min="8" max="8" width="13.109375" customWidth="1"/>
    <col min="9" max="9" width="15.5546875" bestFit="1" customWidth="1"/>
  </cols>
  <sheetData>
    <row r="1" spans="2:9" ht="15" thickBot="1" x14ac:dyDescent="0.35"/>
    <row r="2" spans="2:9" ht="15" thickBot="1" x14ac:dyDescent="0.3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1" t="s">
        <v>5</v>
      </c>
      <c r="H2" s="13" t="s">
        <v>48</v>
      </c>
      <c r="I2" s="14" t="s">
        <v>47</v>
      </c>
    </row>
    <row r="3" spans="2:9" ht="15" thickBot="1" x14ac:dyDescent="0.35">
      <c r="B3" s="2" t="s">
        <v>6</v>
      </c>
      <c r="C3" s="2" t="s">
        <v>7</v>
      </c>
      <c r="D3" s="2" t="s">
        <v>8</v>
      </c>
      <c r="E3" s="2" t="s">
        <v>9</v>
      </c>
      <c r="F3" s="3">
        <v>15</v>
      </c>
      <c r="G3" s="12">
        <v>45000</v>
      </c>
      <c r="H3" s="15">
        <f>G3/F3</f>
        <v>3000</v>
      </c>
      <c r="I3" s="7">
        <f>F3*H3</f>
        <v>45000</v>
      </c>
    </row>
    <row r="4" spans="2:9" ht="15" thickBot="1" x14ac:dyDescent="0.35">
      <c r="B4" s="2" t="s">
        <v>10</v>
      </c>
      <c r="C4" s="2" t="s">
        <v>11</v>
      </c>
      <c r="D4" s="2" t="s">
        <v>12</v>
      </c>
      <c r="E4" s="2" t="s">
        <v>13</v>
      </c>
      <c r="F4" s="3">
        <v>20</v>
      </c>
      <c r="G4" s="12">
        <v>60000</v>
      </c>
      <c r="H4" s="15">
        <f>G4/F4</f>
        <v>3000</v>
      </c>
      <c r="I4" s="7">
        <f t="shared" ref="I4:I12" si="0">F4*H4</f>
        <v>60000</v>
      </c>
    </row>
    <row r="5" spans="2:9" ht="15" thickBot="1" x14ac:dyDescent="0.35">
      <c r="B5" s="2" t="s">
        <v>14</v>
      </c>
      <c r="C5" s="2" t="s">
        <v>15</v>
      </c>
      <c r="D5" s="2" t="s">
        <v>16</v>
      </c>
      <c r="E5" s="2" t="s">
        <v>17</v>
      </c>
      <c r="F5" s="3">
        <v>10</v>
      </c>
      <c r="G5" s="12">
        <v>35000</v>
      </c>
      <c r="H5" s="15">
        <f t="shared" ref="H4:H12" si="1">G5/F5</f>
        <v>3500</v>
      </c>
      <c r="I5" s="7">
        <f t="shared" si="0"/>
        <v>35000</v>
      </c>
    </row>
    <row r="6" spans="2:9" ht="15" thickBot="1" x14ac:dyDescent="0.35">
      <c r="B6" s="2" t="s">
        <v>18</v>
      </c>
      <c r="C6" s="2" t="s">
        <v>19</v>
      </c>
      <c r="D6" s="2" t="s">
        <v>20</v>
      </c>
      <c r="E6" s="2" t="s">
        <v>21</v>
      </c>
      <c r="F6" s="3">
        <v>25</v>
      </c>
      <c r="G6" s="12">
        <v>125000</v>
      </c>
      <c r="H6" s="15">
        <f t="shared" si="1"/>
        <v>5000</v>
      </c>
      <c r="I6" s="7">
        <f t="shared" si="0"/>
        <v>125000</v>
      </c>
    </row>
    <row r="7" spans="2:9" ht="15" thickBot="1" x14ac:dyDescent="0.35">
      <c r="B7" s="2" t="s">
        <v>22</v>
      </c>
      <c r="C7" s="2" t="s">
        <v>23</v>
      </c>
      <c r="D7" s="2" t="s">
        <v>8</v>
      </c>
      <c r="E7" s="2" t="s">
        <v>24</v>
      </c>
      <c r="F7" s="3">
        <v>12</v>
      </c>
      <c r="G7" s="12">
        <v>48000</v>
      </c>
      <c r="H7" s="15">
        <f t="shared" si="1"/>
        <v>4000</v>
      </c>
      <c r="I7" s="7">
        <f t="shared" si="0"/>
        <v>48000</v>
      </c>
    </row>
    <row r="8" spans="2:9" ht="15" thickBot="1" x14ac:dyDescent="0.35">
      <c r="B8" s="2" t="s">
        <v>25</v>
      </c>
      <c r="C8" s="2" t="s">
        <v>26</v>
      </c>
      <c r="D8" s="2" t="s">
        <v>16</v>
      </c>
      <c r="E8" s="2" t="s">
        <v>13</v>
      </c>
      <c r="F8" s="3">
        <v>18</v>
      </c>
      <c r="G8" s="12">
        <v>54000</v>
      </c>
      <c r="H8" s="15">
        <f t="shared" si="1"/>
        <v>3000</v>
      </c>
      <c r="I8" s="7">
        <f t="shared" si="0"/>
        <v>54000</v>
      </c>
    </row>
    <row r="9" spans="2:9" ht="15" thickBot="1" x14ac:dyDescent="0.35">
      <c r="B9" s="2" t="s">
        <v>27</v>
      </c>
      <c r="C9" s="2" t="s">
        <v>28</v>
      </c>
      <c r="D9" s="2" t="s">
        <v>12</v>
      </c>
      <c r="E9" s="2" t="s">
        <v>17</v>
      </c>
      <c r="F9" s="3">
        <v>22</v>
      </c>
      <c r="G9" s="12">
        <v>77000</v>
      </c>
      <c r="H9" s="15">
        <f t="shared" si="1"/>
        <v>3500</v>
      </c>
      <c r="I9" s="7">
        <f t="shared" si="0"/>
        <v>77000</v>
      </c>
    </row>
    <row r="10" spans="2:9" ht="15" thickBot="1" x14ac:dyDescent="0.35">
      <c r="B10" s="2" t="s">
        <v>29</v>
      </c>
      <c r="C10" s="2" t="s">
        <v>30</v>
      </c>
      <c r="D10" s="2" t="s">
        <v>20</v>
      </c>
      <c r="E10" s="2" t="s">
        <v>9</v>
      </c>
      <c r="F10" s="3">
        <v>30</v>
      </c>
      <c r="G10" s="12">
        <v>90000</v>
      </c>
      <c r="H10" s="15">
        <f t="shared" si="1"/>
        <v>3000</v>
      </c>
      <c r="I10" s="7">
        <f t="shared" si="0"/>
        <v>90000</v>
      </c>
    </row>
    <row r="11" spans="2:9" ht="15" thickBot="1" x14ac:dyDescent="0.35">
      <c r="B11" s="2" t="s">
        <v>31</v>
      </c>
      <c r="C11" s="2" t="s">
        <v>32</v>
      </c>
      <c r="D11" s="2" t="s">
        <v>8</v>
      </c>
      <c r="E11" s="2" t="s">
        <v>21</v>
      </c>
      <c r="F11" s="3">
        <v>14</v>
      </c>
      <c r="G11" s="12">
        <v>70000</v>
      </c>
      <c r="H11" s="15">
        <f t="shared" si="1"/>
        <v>5000</v>
      </c>
      <c r="I11" s="7">
        <f t="shared" si="0"/>
        <v>70000</v>
      </c>
    </row>
    <row r="12" spans="2:9" ht="15" thickBot="1" x14ac:dyDescent="0.35">
      <c r="B12" s="2" t="s">
        <v>33</v>
      </c>
      <c r="C12" s="2" t="s">
        <v>34</v>
      </c>
      <c r="D12" s="2" t="s">
        <v>16</v>
      </c>
      <c r="E12" s="2" t="s">
        <v>24</v>
      </c>
      <c r="F12" s="3">
        <v>8</v>
      </c>
      <c r="G12" s="12">
        <v>32000</v>
      </c>
      <c r="H12" s="15">
        <f t="shared" si="1"/>
        <v>4000</v>
      </c>
      <c r="I12" s="7">
        <f t="shared" si="0"/>
        <v>32000</v>
      </c>
    </row>
    <row r="13" spans="2:9" x14ac:dyDescent="0.3">
      <c r="I13" s="17">
        <f>SUM(I3:I12)</f>
        <v>636000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A0A9A-360C-4CCD-8AFE-45648A97435D}">
  <dimension ref="C1:M4"/>
  <sheetViews>
    <sheetView workbookViewId="0">
      <selection activeCell="G7" sqref="G7"/>
    </sheetView>
  </sheetViews>
  <sheetFormatPr defaultRowHeight="14.4" x14ac:dyDescent="0.3"/>
  <cols>
    <col min="9" max="9" width="10.6640625" bestFit="1" customWidth="1"/>
  </cols>
  <sheetData>
    <row r="1" spans="3:13" x14ac:dyDescent="0.3">
      <c r="I1" s="8" t="s">
        <v>51</v>
      </c>
    </row>
    <row r="3" spans="3:13" x14ac:dyDescent="0.3">
      <c r="C3" s="16" t="s">
        <v>2</v>
      </c>
      <c r="D3" s="4" t="s">
        <v>8</v>
      </c>
      <c r="E3" s="4" t="s">
        <v>12</v>
      </c>
      <c r="F3" s="4" t="s">
        <v>16</v>
      </c>
      <c r="G3" s="4" t="s">
        <v>20</v>
      </c>
      <c r="I3" s="4" t="s">
        <v>2</v>
      </c>
      <c r="J3" s="4" t="s">
        <v>8</v>
      </c>
      <c r="K3" s="4" t="s">
        <v>12</v>
      </c>
      <c r="L3" s="4" t="s">
        <v>16</v>
      </c>
      <c r="M3" s="4" t="s">
        <v>20</v>
      </c>
    </row>
    <row r="4" spans="3:13" ht="27" x14ac:dyDescent="0.3">
      <c r="C4" s="5" t="s">
        <v>46</v>
      </c>
      <c r="D4" s="6">
        <v>150000</v>
      </c>
      <c r="E4" s="6">
        <v>140000</v>
      </c>
      <c r="F4" s="6">
        <v>120000</v>
      </c>
      <c r="G4" s="6">
        <v>160000</v>
      </c>
      <c r="I4" s="7" t="s">
        <v>50</v>
      </c>
      <c r="J4" s="7">
        <f>HLOOKUP(J3,C3:G4,2,FALSE)</f>
        <v>150000</v>
      </c>
      <c r="K4" s="7">
        <f t="shared" ref="K4:M4" si="0">HLOOKUP(K3,D3:H4,2,FALSE)</f>
        <v>140000</v>
      </c>
      <c r="L4" s="7">
        <f t="shared" si="0"/>
        <v>120000</v>
      </c>
      <c r="M4" s="7">
        <f t="shared" si="0"/>
        <v>160000</v>
      </c>
    </row>
  </sheetData>
  <conditionalFormatting sqref="D4:G4">
    <cfRule type="cellIs" dxfId="0" priority="4" operator="lessThan">
      <formula>15000</formula>
    </cfRule>
    <cfRule type="cellIs" dxfId="1" priority="3" operator="lessThan">
      <formula>15000</formula>
    </cfRule>
    <cfRule type="cellIs" dxfId="2" priority="2" operator="lessThan">
      <formula>15000</formula>
    </cfRule>
    <cfRule type="cellIs" dxfId="3" priority="1" operator="lessThan">
      <formula>150000</formula>
    </cfRule>
  </conditionalFormatting>
  <dataValidations count="1">
    <dataValidation type="list" allowBlank="1" showInputMessage="1" showErrorMessage="1" sqref="D3:G3" xr:uid="{89FF4715-5E2C-474F-983F-275F29A7B65C}">
      <formula1>$D$3:$G$3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product_master</vt:lpstr>
      <vt:lpstr>sales_data</vt:lpstr>
      <vt:lpstr>monthly_target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Shivani Yenpreddiwar</dc:creator>
  <cp:lastModifiedBy>Shivani Yenpreddiwar</cp:lastModifiedBy>
  <dcterms:created xsi:type="dcterms:W3CDTF">2025-11-01T06:20:37Z</dcterms:created>
  <dcterms:modified xsi:type="dcterms:W3CDTF">2025-11-01T07:36:30Z</dcterms:modified>
</cp:coreProperties>
</file>